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<sst xmlns="http://schemas.openxmlformats.org/spreadsheetml/2006/main" count="91" uniqueCount="75">
  <si>
    <t xml:space="preserve">Crops</t>
  </si>
  <si>
    <t xml:space="preserve">LVL req</t>
  </si>
  <si>
    <t xml:space="preserve">Drop% in Crops</t>
  </si>
  <si>
    <t xml:space="preserve">Drop total</t>
  </si>
  <si>
    <t xml:space="preserve">Value</t>
  </si>
  <si>
    <t xml:space="preserve">Berries</t>
  </si>
  <si>
    <t xml:space="preserve">Drop% in Berries</t>
  </si>
  <si>
    <t xml:space="preserve">Fruit</t>
  </si>
  <si>
    <t xml:space="preserve">Drop% in Fruit</t>
  </si>
  <si>
    <t xml:space="preserve">Per-item EV (base)</t>
  </si>
  <si>
    <t xml:space="preserve">Wheat</t>
  </si>
  <si>
    <t xml:space="preserve">Strawberry</t>
  </si>
  <si>
    <t xml:space="preserve">Apple</t>
  </si>
  <si>
    <t xml:space="preserve">Per-item seed EV (base)</t>
  </si>
  <si>
    <t xml:space="preserve">Rice</t>
  </si>
  <si>
    <t xml:space="preserve">Raspberry</t>
  </si>
  <si>
    <t xml:space="preserve">Orange</t>
  </si>
  <si>
    <t xml:space="preserve">Potato</t>
  </si>
  <si>
    <t xml:space="preserve">Blackberry</t>
  </si>
  <si>
    <t xml:space="preserve">Pear</t>
  </si>
  <si>
    <t xml:space="preserve">Corn</t>
  </si>
  <si>
    <t xml:space="preserve">Blueberry</t>
  </si>
  <si>
    <t xml:space="preserve">Peach</t>
  </si>
  <si>
    <t xml:space="preserve">Tomato</t>
  </si>
  <si>
    <t xml:space="preserve">Cherry</t>
  </si>
  <si>
    <t xml:space="preserve">Papaya</t>
  </si>
  <si>
    <t xml:space="preserve">Soy</t>
  </si>
  <si>
    <t xml:space="preserve">Cranberry</t>
  </si>
  <si>
    <t xml:space="preserve">Mango</t>
  </si>
  <si>
    <t xml:space="preserve">Yam</t>
  </si>
  <si>
    <t xml:space="preserve">Açai</t>
  </si>
  <si>
    <t xml:space="preserve">Pitaya</t>
  </si>
  <si>
    <t xml:space="preserve">Item-type drop chances</t>
  </si>
  <si>
    <t xml:space="preserve">Staple Crops</t>
  </si>
  <si>
    <t xml:space="preserve">Growth Potions</t>
  </si>
  <si>
    <t xml:space="preserve">Cure Potions</t>
  </si>
  <si>
    <t xml:space="preserve">Growth potions</t>
  </si>
  <si>
    <t xml:space="preserve">Boost</t>
  </si>
  <si>
    <t xml:space="preserve">Drop% (in type)</t>
  </si>
  <si>
    <t xml:space="preserve">Sale price</t>
  </si>
  <si>
    <t xml:space="preserve">Cure potions</t>
  </si>
  <si>
    <t xml:space="preserve">Rare</t>
  </si>
  <si>
    <t xml:space="preserve">Crop</t>
  </si>
  <si>
    <t xml:space="preserve">Mythic</t>
  </si>
  <si>
    <t xml:space="preserve">Legendary</t>
  </si>
  <si>
    <t xml:space="preserve">Berry</t>
  </si>
  <si>
    <t xml:space="preserve">Exp. growth sale</t>
  </si>
  <si>
    <t xml:space="preserve">Exp. cure sale</t>
  </si>
  <si>
    <t xml:space="preserve">Plant rarities (rolled on every seed)</t>
  </si>
  <si>
    <t xml:space="preserve">Drop %</t>
  </si>
  <si>
    <t xml:space="preserve">Sale ×</t>
  </si>
  <si>
    <t xml:space="preserve">Growth aura</t>
  </si>
  <si>
    <t xml:space="preserve">Common</t>
  </si>
  <si>
    <t xml:space="preserve">Expected sale × (weighted)</t>
  </si>
  <si>
    <t xml:space="preserve">UPDATED HOUSE EDGE — includes rarity sale surplus + sellable potions</t>
  </si>
  <si>
    <t xml:space="preserve">Items per box</t>
  </si>
  <si>
    <t xml:space="preserve">Box price</t>
  </si>
  <si>
    <t xml:space="preserve">Per-item payout component</t>
  </si>
  <si>
    <t xml:space="preserve">Seeds — base (Common value)</t>
  </si>
  <si>
    <t xml:space="preserve">× expected rarity sale multiplier</t>
  </si>
  <si>
    <t xml:space="preserve">Seeds — rarity-adjusted</t>
  </si>
  <si>
    <t xml:space="preserve">Growth potions (weight × exp. sale)</t>
  </si>
  <si>
    <t xml:space="preserve">Cure potions (weight × exp. sale)</t>
  </si>
  <si>
    <t xml:space="preserve">Per-item EV (total)</t>
  </si>
  <si>
    <t xml:space="preserve">Box payout EV</t>
  </si>
  <si>
    <t xml:space="preserve">House Edge  (payout ÷ price)</t>
  </si>
  <si>
    <t xml:space="preserve">House margin  (1 − price ÷ payout)</t>
  </si>
  <si>
    <t xml:space="preserve">Note: ratio &gt; 1.0x means the box pays out more than it costs (player-favorable).</t>
  </si>
  <si>
    <t xml:space="preserve">Design notes</t>
  </si>
  <si>
    <t xml:space="preserve">B19: +30% drop chance for Wheat/Strawberry/Apple at Lv 1–5; +20% for Rice/Raspberry/Orange at Lv 5–10.</t>
  </si>
  <si>
    <t xml:space="preserve">B21: Seed sale price = 20% of the Common (base) value, no decimals.</t>
  </si>
  <si>
    <t xml:space="preserve">B30: Fruits and berries swapped tiers; Cherry is a berry, Pear &amp; Mango are fruit (new logos added).</t>
  </si>
  <si>
    <t xml:space="preserve">B31: Value column is the Common price. Rare/Mythic/Legendary sell at the multipliers in the rarity table.</t>
  </si>
  <si>
    <t xml:space="preserve">B39: Potions are sellable in the Market (prices in the potion tables above).</t>
  </si>
  <si>
    <t xml:space="preserve">B41: House Edge now includes potion sale value and the rarity sale surplus (this block).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</si>
</sst>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0.00%"/>
    <numFmt numFmtId="167" formatCode="\$#,##0"/>
    <numFmt numFmtId="168" formatCode="#,##0.00"/>
    <numFmt numFmtId="169" formatCode="0.00\x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6E4A"/>
        <bgColor rgb="FF008080"/>
      </patternFill>
    </fill>
    <fill>
      <patternFill patternType="solid">
        <fgColor rgb="FFD9EAD3"/>
        <bgColor rgb="FFFFF2CC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F6E4A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4"/>
    <col collapsed="false" customWidth="true" hidden="false" outlineLevel="0" max="3" min="3" style="1" width="13"/>
    <col collapsed="false" customWidth="true" hidden="false" outlineLevel="0" max="5" min="4" style="1" width="12"/>
    <col collapsed="false" customWidth="true" hidden="false" outlineLevel="0" max="6" min="6" style="1" width="2"/>
    <col collapsed="false" customWidth="true" hidden="false" outlineLevel="0" max="8" min="7" style="1" width="13"/>
    <col collapsed="false" customWidth="true" hidden="false" outlineLevel="0" max="10" min="9" style="1" width="12"/>
    <col collapsed="false" customWidth="true" hidden="false" outlineLevel="0" max="11" min="11" style="1" width="10"/>
    <col collapsed="false" customWidth="true" hidden="false" outlineLevel="0" max="12" min="12" style="1" width="2"/>
    <col collapsed="false" customWidth="true" hidden="false" outlineLevel="0" max="13" min="13" style="1" width="10"/>
    <col collapsed="false" customWidth="true" hidden="false" outlineLevel="0" max="14" min="14" style="1" width="9"/>
    <col collapsed="false" customWidth="true" hidden="false" outlineLevel="0" max="15" min="15" style="1" width="13"/>
    <col collapsed="false" customWidth="true" hidden="false" outlineLevel="0" max="16" min="16" style="1" width="11"/>
    <col collapsed="false" customWidth="true" hidden="false" outlineLevel="0" max="17" min="17" style="1" width="10"/>
    <col collapsed="false" customWidth="true" hidden="false" outlineLevel="0" max="18" min="18" style="1" width="24"/>
    <col collapsed="false" customWidth="true" hidden="false" outlineLevel="0" max="19" min="19" style="1" width="16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  <c r="H1" s="2" t="s">
        <v>1</v>
      </c>
      <c r="I1" s="2" t="s">
        <v>6</v>
      </c>
      <c r="J1" s="2" t="s">
        <v>3</v>
      </c>
      <c r="K1" s="2" t="s">
        <v>4</v>
      </c>
      <c r="M1" s="2" t="s">
        <v>7</v>
      </c>
      <c r="N1" s="2" t="s">
        <v>1</v>
      </c>
      <c r="O1" s="2" t="s">
        <v>8</v>
      </c>
      <c r="P1" s="2" t="s">
        <v>3</v>
      </c>
      <c r="Q1" s="2" t="s">
        <v>4</v>
      </c>
      <c r="S1" s="2" t="s">
        <v>9</v>
      </c>
    </row>
    <row r="2" customFormat="false" ht="15" hidden="false" customHeight="true" outlineLevel="0" collapsed="false">
      <c r="A2" s="3" t="s">
        <v>10</v>
      </c>
      <c r="B2" s="4" t="n">
        <v>1</v>
      </c>
      <c r="C2" s="5" t="n">
        <v>0.5</v>
      </c>
      <c r="D2" s="6" t="n">
        <f aca="false">C2*$C$13</f>
        <v>0.275</v>
      </c>
      <c r="E2" s="7" t="n">
        <v>20</v>
      </c>
      <c r="G2" s="3" t="s">
        <v>11</v>
      </c>
      <c r="H2" s="4" t="n">
        <v>1</v>
      </c>
      <c r="I2" s="5" t="n">
        <v>0.5</v>
      </c>
      <c r="J2" s="6" t="n">
        <f aca="false">I2*$C$14</f>
        <v>0.04</v>
      </c>
      <c r="K2" s="7" t="n">
        <v>85</v>
      </c>
      <c r="M2" s="3" t="s">
        <v>12</v>
      </c>
      <c r="N2" s="4" t="n">
        <v>1</v>
      </c>
      <c r="O2" s="5" t="n">
        <v>0.5</v>
      </c>
      <c r="P2" s="6" t="n">
        <f aca="false">O2*$C$15</f>
        <v>0.085</v>
      </c>
      <c r="Q2" s="7" t="n">
        <v>50</v>
      </c>
      <c r="R2" s="8" t="s">
        <v>13</v>
      </c>
      <c r="S2" s="9" t="n">
        <f aca="false">(D2*E2)+(J2*K2)+(P2*Q2)</f>
        <v>13.15</v>
      </c>
    </row>
    <row r="3" customFormat="false" ht="15" hidden="false" customHeight="true" outlineLevel="0" collapsed="false">
      <c r="A3" s="3" t="s">
        <v>14</v>
      </c>
      <c r="B3" s="4" t="n">
        <v>5</v>
      </c>
      <c r="C3" s="5" t="n">
        <v>0.2</v>
      </c>
      <c r="D3" s="6" t="n">
        <f aca="false">C3*$C$13</f>
        <v>0.11</v>
      </c>
      <c r="E3" s="7" t="n">
        <v>35</v>
      </c>
      <c r="G3" s="3" t="s">
        <v>15</v>
      </c>
      <c r="H3" s="4" t="n">
        <v>5</v>
      </c>
      <c r="I3" s="5" t="n">
        <v>0.2</v>
      </c>
      <c r="J3" s="6" t="n">
        <f aca="false">I3*$C$14</f>
        <v>0.016</v>
      </c>
      <c r="K3" s="7" t="n">
        <v>135</v>
      </c>
      <c r="M3" s="3" t="s">
        <v>16</v>
      </c>
      <c r="N3" s="4" t="n">
        <v>5</v>
      </c>
      <c r="O3" s="5" t="n">
        <v>0.2</v>
      </c>
      <c r="P3" s="6" t="n">
        <f aca="false">O3*$C$15</f>
        <v>0.034</v>
      </c>
      <c r="Q3" s="7" t="n">
        <v>100</v>
      </c>
      <c r="R3" s="3" t="n">
        <f aca="false">SUM(S2:S8)</f>
        <v>52.7115</v>
      </c>
      <c r="S3" s="9" t="n">
        <f aca="false">(D3*E3)+(J3*K3)+(P3*Q3)</f>
        <v>9.41</v>
      </c>
    </row>
    <row r="4" customFormat="false" ht="15" hidden="false" customHeight="true" outlineLevel="0" collapsed="false">
      <c r="A4" s="3" t="s">
        <v>17</v>
      </c>
      <c r="B4" s="4" t="n">
        <v>10</v>
      </c>
      <c r="C4" s="5" t="n">
        <v>0.12</v>
      </c>
      <c r="D4" s="6" t="n">
        <f aca="false">C4*$C$13</f>
        <v>0.066</v>
      </c>
      <c r="E4" s="7" t="n">
        <v>55</v>
      </c>
      <c r="G4" s="3" t="s">
        <v>18</v>
      </c>
      <c r="H4" s="4" t="n">
        <v>10</v>
      </c>
      <c r="I4" s="5" t="n">
        <v>0.12</v>
      </c>
      <c r="J4" s="6" t="n">
        <f aca="false">I4*$C$14</f>
        <v>0.0096</v>
      </c>
      <c r="K4" s="7" t="n">
        <v>175</v>
      </c>
      <c r="M4" s="3" t="s">
        <v>19</v>
      </c>
      <c r="N4" s="4" t="n">
        <v>10</v>
      </c>
      <c r="O4" s="5" t="n">
        <v>0.12</v>
      </c>
      <c r="P4" s="6" t="n">
        <f aca="false">O4*$C$15</f>
        <v>0.0204</v>
      </c>
      <c r="Q4" s="7" t="n">
        <v>125</v>
      </c>
      <c r="S4" s="9" t="n">
        <f aca="false">(D4*E4)+(J4*K4)+(P4*Q4)</f>
        <v>7.86</v>
      </c>
    </row>
    <row r="5" customFormat="false" ht="15" hidden="false" customHeight="true" outlineLevel="0" collapsed="false">
      <c r="A5" s="3" t="s">
        <v>20</v>
      </c>
      <c r="B5" s="4" t="n">
        <v>15</v>
      </c>
      <c r="C5" s="5" t="n">
        <v>0.08</v>
      </c>
      <c r="D5" s="6" t="n">
        <f aca="false">C5*$C$13</f>
        <v>0.044</v>
      </c>
      <c r="E5" s="7" t="n">
        <v>75</v>
      </c>
      <c r="G5" s="3" t="s">
        <v>21</v>
      </c>
      <c r="H5" s="4" t="n">
        <v>15</v>
      </c>
      <c r="I5" s="5" t="n">
        <v>0.08</v>
      </c>
      <c r="J5" s="6" t="n">
        <f aca="false">I5*$C$14</f>
        <v>0.0064</v>
      </c>
      <c r="K5" s="7" t="n">
        <v>215</v>
      </c>
      <c r="M5" s="3" t="s">
        <v>22</v>
      </c>
      <c r="N5" s="4" t="n">
        <v>15</v>
      </c>
      <c r="O5" s="5" t="n">
        <v>0.08</v>
      </c>
      <c r="P5" s="6" t="n">
        <f aca="false">O5*$C$15</f>
        <v>0.0136</v>
      </c>
      <c r="Q5" s="7" t="n">
        <v>175</v>
      </c>
      <c r="S5" s="9" t="n">
        <f aca="false">(D5*E5)+(J5*K5)+(P5*Q5)</f>
        <v>7.056</v>
      </c>
    </row>
    <row r="6" customFormat="false" ht="15" hidden="false" customHeight="true" outlineLevel="0" collapsed="false">
      <c r="A6" s="3" t="s">
        <v>23</v>
      </c>
      <c r="B6" s="4" t="n">
        <v>20</v>
      </c>
      <c r="C6" s="5" t="n">
        <v>0.06</v>
      </c>
      <c r="D6" s="6" t="n">
        <f aca="false">C6*$C$13</f>
        <v>0.033</v>
      </c>
      <c r="E6" s="7" t="n">
        <v>95</v>
      </c>
      <c r="G6" s="3" t="s">
        <v>24</v>
      </c>
      <c r="H6" s="4" t="n">
        <v>20</v>
      </c>
      <c r="I6" s="5" t="n">
        <v>0.06</v>
      </c>
      <c r="J6" s="6" t="n">
        <f aca="false">I6*$C$14</f>
        <v>0.0048</v>
      </c>
      <c r="K6" s="7" t="n">
        <v>255</v>
      </c>
      <c r="M6" s="3" t="s">
        <v>25</v>
      </c>
      <c r="N6" s="4" t="n">
        <v>20</v>
      </c>
      <c r="O6" s="5" t="n">
        <v>0.06</v>
      </c>
      <c r="P6" s="6" t="n">
        <f aca="false">O6*$C$15</f>
        <v>0.0102</v>
      </c>
      <c r="Q6" s="7" t="n">
        <v>225</v>
      </c>
      <c r="S6" s="9" t="n">
        <f aca="false">(D6*E6)+(J6*K6)+(P6*Q6)</f>
        <v>6.654</v>
      </c>
    </row>
    <row r="7" customFormat="false" ht="15" hidden="false" customHeight="true" outlineLevel="0" collapsed="false">
      <c r="A7" s="3" t="s">
        <v>26</v>
      </c>
      <c r="B7" s="4" t="n">
        <v>30</v>
      </c>
      <c r="C7" s="5" t="n">
        <v>0.03</v>
      </c>
      <c r="D7" s="6" t="n">
        <f aca="false">C7*$C$13</f>
        <v>0.0165</v>
      </c>
      <c r="E7" s="7" t="n">
        <v>125</v>
      </c>
      <c r="G7" s="3" t="s">
        <v>27</v>
      </c>
      <c r="H7" s="4" t="n">
        <v>30</v>
      </c>
      <c r="I7" s="5" t="n">
        <v>0.03</v>
      </c>
      <c r="J7" s="6" t="n">
        <f aca="false">I7*$C$14</f>
        <v>0.0024</v>
      </c>
      <c r="K7" s="7" t="n">
        <v>750</v>
      </c>
      <c r="M7" s="3" t="s">
        <v>28</v>
      </c>
      <c r="N7" s="4" t="n">
        <v>30</v>
      </c>
      <c r="O7" s="5" t="n">
        <v>0.03</v>
      </c>
      <c r="P7" s="6" t="n">
        <f aca="false">O7*$C$15</f>
        <v>0.0051</v>
      </c>
      <c r="Q7" s="7" t="n">
        <v>280</v>
      </c>
      <c r="S7" s="9" t="n">
        <f aca="false">(D7*E7)+(J7*K7)+(P7*Q7)</f>
        <v>5.2905</v>
      </c>
    </row>
    <row r="8" customFormat="false" ht="15" hidden="false" customHeight="true" outlineLevel="0" collapsed="false">
      <c r="A8" s="3" t="s">
        <v>29</v>
      </c>
      <c r="B8" s="4" t="n">
        <v>50</v>
      </c>
      <c r="C8" s="5" t="n">
        <v>0.01</v>
      </c>
      <c r="D8" s="6" t="n">
        <f aca="false">C8*$C$13</f>
        <v>0.0055</v>
      </c>
      <c r="E8" s="7" t="n">
        <v>245</v>
      </c>
      <c r="G8" s="3" t="s">
        <v>30</v>
      </c>
      <c r="H8" s="4" t="n">
        <v>50</v>
      </c>
      <c r="I8" s="5" t="n">
        <v>0.01</v>
      </c>
      <c r="J8" s="6" t="n">
        <f aca="false">I8*$C$14</f>
        <v>0.0008</v>
      </c>
      <c r="K8" s="7" t="n">
        <v>1250</v>
      </c>
      <c r="M8" s="3" t="s">
        <v>31</v>
      </c>
      <c r="N8" s="4" t="n">
        <v>50</v>
      </c>
      <c r="O8" s="5" t="n">
        <v>0.01</v>
      </c>
      <c r="P8" s="6" t="n">
        <f aca="false">O8*$C$15</f>
        <v>0.0017</v>
      </c>
      <c r="Q8" s="7" t="n">
        <v>555</v>
      </c>
      <c r="S8" s="9" t="n">
        <f aca="false">(D8*E8)+(J8*K8)+(P8*Q8)</f>
        <v>3.291</v>
      </c>
    </row>
    <row r="9" customFormat="false" ht="15" hidden="false" customHeight="true" outlineLevel="0" collapsed="false">
      <c r="R9" s="8" t="s">
        <v>13</v>
      </c>
      <c r="S9" s="9" t="n">
        <f aca="false">SUM(S2:S8)</f>
        <v>52.7115</v>
      </c>
    </row>
    <row r="10" customFormat="false" ht="15" hidden="false" customHeight="true" outlineLevel="0" collapsed="false">
      <c r="S10" s="3"/>
    </row>
    <row r="12" customFormat="false" ht="15" hidden="false" customHeight="true" outlineLevel="0" collapsed="false">
      <c r="B12" s="10" t="s">
        <v>32</v>
      </c>
    </row>
    <row r="13" customFormat="false" ht="15" hidden="false" customHeight="true" outlineLevel="0" collapsed="false">
      <c r="B13" s="3" t="s">
        <v>33</v>
      </c>
      <c r="C13" s="5" t="n">
        <v>0.55</v>
      </c>
    </row>
    <row r="14" customFormat="false" ht="15" hidden="false" customHeight="true" outlineLevel="0" collapsed="false">
      <c r="B14" s="3" t="s">
        <v>5</v>
      </c>
      <c r="C14" s="5" t="n">
        <v>0.08</v>
      </c>
    </row>
    <row r="15" customFormat="false" ht="15" hidden="false" customHeight="true" outlineLevel="0" collapsed="false">
      <c r="B15" s="3" t="s">
        <v>7</v>
      </c>
      <c r="C15" s="5" t="n">
        <v>0.17</v>
      </c>
    </row>
    <row r="16" customFormat="false" ht="15" hidden="false" customHeight="true" outlineLevel="0" collapsed="false">
      <c r="B16" s="3" t="s">
        <v>34</v>
      </c>
      <c r="C16" s="5" t="n">
        <v>0.1</v>
      </c>
    </row>
    <row r="17" customFormat="false" ht="15" hidden="false" customHeight="true" outlineLevel="0" collapsed="false">
      <c r="B17" s="3" t="s">
        <v>35</v>
      </c>
      <c r="C17" s="5" t="n">
        <v>0.1</v>
      </c>
    </row>
    <row r="20" customFormat="false" ht="15" hidden="false" customHeight="true" outlineLevel="0" collapsed="false">
      <c r="B20" s="10" t="s">
        <v>36</v>
      </c>
      <c r="C20" s="10" t="s">
        <v>37</v>
      </c>
      <c r="D20" s="10" t="s">
        <v>38</v>
      </c>
      <c r="E20" s="10" t="s">
        <v>39</v>
      </c>
      <c r="G20" s="10" t="s">
        <v>40</v>
      </c>
      <c r="H20" s="10" t="s">
        <v>38</v>
      </c>
      <c r="I20" s="10" t="s">
        <v>39</v>
      </c>
    </row>
    <row r="21" customFormat="false" ht="15" hidden="false" customHeight="true" outlineLevel="0" collapsed="false">
      <c r="B21" s="3" t="s">
        <v>41</v>
      </c>
      <c r="C21" s="5" t="n">
        <v>0.15</v>
      </c>
      <c r="D21" s="5" t="n">
        <v>0.65</v>
      </c>
      <c r="E21" s="7" t="n">
        <v>30</v>
      </c>
      <c r="G21" s="3" t="s">
        <v>42</v>
      </c>
      <c r="H21" s="5" t="n">
        <v>0.6</v>
      </c>
      <c r="I21" s="7" t="n">
        <v>50</v>
      </c>
    </row>
    <row r="22" customFormat="false" ht="15" hidden="false" customHeight="true" outlineLevel="0" collapsed="false">
      <c r="B22" s="3" t="s">
        <v>43</v>
      </c>
      <c r="C22" s="5" t="n">
        <v>0.25</v>
      </c>
      <c r="D22" s="5" t="n">
        <v>0.25</v>
      </c>
      <c r="E22" s="7" t="n">
        <v>45</v>
      </c>
      <c r="G22" s="3" t="s">
        <v>7</v>
      </c>
      <c r="H22" s="5" t="n">
        <v>0.25</v>
      </c>
      <c r="I22" s="7" t="n">
        <v>90</v>
      </c>
    </row>
    <row r="23" customFormat="false" ht="15" hidden="false" customHeight="true" outlineLevel="0" collapsed="false">
      <c r="B23" s="3" t="s">
        <v>44</v>
      </c>
      <c r="C23" s="5" t="n">
        <v>0.5</v>
      </c>
      <c r="D23" s="5" t="n">
        <v>0.1</v>
      </c>
      <c r="E23" s="7" t="n">
        <v>120</v>
      </c>
      <c r="G23" s="3" t="s">
        <v>45</v>
      </c>
      <c r="H23" s="5" t="n">
        <v>0.15</v>
      </c>
      <c r="I23" s="7" t="n">
        <v>130</v>
      </c>
    </row>
    <row r="24" customFormat="false" ht="15" hidden="false" customHeight="true" outlineLevel="0" collapsed="false">
      <c r="B24" s="8" t="s">
        <v>46</v>
      </c>
      <c r="E24" s="11" t="n">
        <f aca="false">SUMPRODUCT(D21:D23,E21:E23)</f>
        <v>42.75</v>
      </c>
      <c r="G24" s="8" t="s">
        <v>47</v>
      </c>
      <c r="I24" s="11" t="n">
        <f aca="false">SUMPRODUCT(H21:H23,I21:I23)</f>
        <v>72</v>
      </c>
    </row>
    <row r="27" customFormat="false" ht="15" hidden="false" customHeight="true" outlineLevel="0" collapsed="false">
      <c r="B27" s="10" t="s">
        <v>48</v>
      </c>
      <c r="C27" s="10" t="s">
        <v>49</v>
      </c>
      <c r="D27" s="10" t="s">
        <v>50</v>
      </c>
      <c r="E27" s="10" t="s">
        <v>51</v>
      </c>
    </row>
    <row r="28" customFormat="false" ht="15" hidden="false" customHeight="true" outlineLevel="0" collapsed="false">
      <c r="B28" s="3" t="s">
        <v>52</v>
      </c>
      <c r="C28" s="5" t="n">
        <v>0.71</v>
      </c>
      <c r="D28" s="12" t="n">
        <v>1</v>
      </c>
      <c r="E28" s="5" t="n">
        <v>0</v>
      </c>
    </row>
    <row r="29" customFormat="false" ht="15" hidden="false" customHeight="true" outlineLevel="0" collapsed="false">
      <c r="B29" s="3" t="s">
        <v>41</v>
      </c>
      <c r="C29" s="5" t="n">
        <v>0.15</v>
      </c>
      <c r="D29" s="12" t="n">
        <v>1.3</v>
      </c>
      <c r="E29" s="5" t="n">
        <v>0.15</v>
      </c>
    </row>
    <row r="30" customFormat="false" ht="15" hidden="false" customHeight="true" outlineLevel="0" collapsed="false">
      <c r="B30" s="3" t="s">
        <v>43</v>
      </c>
      <c r="C30" s="5" t="n">
        <v>0.09</v>
      </c>
      <c r="D30" s="12" t="n">
        <v>1.5</v>
      </c>
      <c r="E30" s="5" t="n">
        <v>0.25</v>
      </c>
    </row>
    <row r="31" customFormat="false" ht="15" hidden="false" customHeight="true" outlineLevel="0" collapsed="false">
      <c r="B31" s="3" t="s">
        <v>44</v>
      </c>
      <c r="C31" s="5" t="n">
        <v>0.05</v>
      </c>
      <c r="D31" s="12" t="n">
        <v>2</v>
      </c>
      <c r="E31" s="5" t="n">
        <v>0.5</v>
      </c>
    </row>
    <row r="32" customFormat="false" ht="15" hidden="false" customHeight="true" outlineLevel="0" collapsed="false">
      <c r="B32" s="8" t="s">
        <v>53</v>
      </c>
      <c r="D32" s="13" t="n">
        <f aca="false">SUMPRODUCT(C28:C31,D28:D31)</f>
        <v>1.14</v>
      </c>
    </row>
    <row r="35" customFormat="false" ht="15" hidden="false" customHeight="true" outlineLevel="0" collapsed="false">
      <c r="B35" s="14" t="s">
        <v>54</v>
      </c>
      <c r="C35" s="14"/>
      <c r="D35" s="14"/>
      <c r="E35" s="14"/>
    </row>
    <row r="36" customFormat="false" ht="15" hidden="false" customHeight="true" outlineLevel="0" collapsed="false">
      <c r="B36" s="3" t="s">
        <v>55</v>
      </c>
      <c r="C36" s="4" t="n">
        <v>5</v>
      </c>
    </row>
    <row r="37" customFormat="false" ht="15" hidden="false" customHeight="true" outlineLevel="0" collapsed="false">
      <c r="B37" s="3" t="s">
        <v>56</v>
      </c>
      <c r="C37" s="7" t="n">
        <v>350</v>
      </c>
    </row>
    <row r="39" customFormat="false" ht="15" hidden="false" customHeight="true" outlineLevel="0" collapsed="false">
      <c r="B39" s="10" t="s">
        <v>57</v>
      </c>
      <c r="C39" s="10" t="s">
        <v>4</v>
      </c>
    </row>
    <row r="40" customFormat="false" ht="15" hidden="false" customHeight="true" outlineLevel="0" collapsed="false">
      <c r="B40" s="3" t="s">
        <v>58</v>
      </c>
      <c r="C40" s="9" t="n">
        <f aca="false">S9</f>
        <v>52.7115</v>
      </c>
    </row>
    <row r="41" customFormat="false" ht="15" hidden="false" customHeight="true" outlineLevel="0" collapsed="false">
      <c r="B41" s="3" t="s">
        <v>59</v>
      </c>
      <c r="C41" s="13" t="n">
        <f aca="false">D32</f>
        <v>1.14</v>
      </c>
    </row>
    <row r="42" customFormat="false" ht="15" hidden="false" customHeight="true" outlineLevel="0" collapsed="false">
      <c r="B42" s="3" t="s">
        <v>60</v>
      </c>
      <c r="C42" s="9" t="n">
        <f aca="false">C40*C41</f>
        <v>60.09111</v>
      </c>
    </row>
    <row r="43" customFormat="false" ht="15" hidden="false" customHeight="true" outlineLevel="0" collapsed="false">
      <c r="B43" s="3" t="s">
        <v>61</v>
      </c>
      <c r="C43" s="9" t="n">
        <f aca="false">C16*E24</f>
        <v>4.275</v>
      </c>
    </row>
    <row r="44" customFormat="false" ht="15" hidden="false" customHeight="true" outlineLevel="0" collapsed="false">
      <c r="B44" s="3" t="s">
        <v>62</v>
      </c>
      <c r="C44" s="9" t="n">
        <f aca="false">C17*I24</f>
        <v>7.2</v>
      </c>
    </row>
    <row r="45" customFormat="false" ht="15" hidden="false" customHeight="true" outlineLevel="0" collapsed="false">
      <c r="B45" s="8" t="s">
        <v>63</v>
      </c>
      <c r="C45" s="15" t="n">
        <f aca="false">C42+C43+C44</f>
        <v>71.56611</v>
      </c>
    </row>
    <row r="46" customFormat="false" ht="15" hidden="false" customHeight="true" outlineLevel="0" collapsed="false">
      <c r="B46" s="8" t="s">
        <v>64</v>
      </c>
      <c r="C46" s="15" t="n">
        <f aca="false">C45*C36</f>
        <v>357.83055</v>
      </c>
    </row>
    <row r="47" customFormat="false" ht="15" hidden="false" customHeight="true" outlineLevel="0" collapsed="false">
      <c r="B47" s="16" t="s">
        <v>65</v>
      </c>
      <c r="C47" s="17" t="n">
        <f aca="false">C46/C37</f>
        <v>1.022373</v>
      </c>
    </row>
    <row r="48" customFormat="false" ht="15" hidden="false" customHeight="true" outlineLevel="0" collapsed="false">
      <c r="B48" s="3" t="s">
        <v>66</v>
      </c>
      <c r="C48" s="18" t="n">
        <f aca="false">1-C37/C46</f>
        <v>0.0218834026328941</v>
      </c>
    </row>
    <row r="49" customFormat="false" ht="15" hidden="false" customHeight="true" outlineLevel="0" collapsed="false">
      <c r="B49" s="19" t="s">
        <v>67</v>
      </c>
    </row>
    <row r="52" customFormat="false" ht="15" hidden="false" customHeight="true" outlineLevel="0" collapsed="false">
      <c r="B52" s="10" t="s">
        <v>68</v>
      </c>
    </row>
    <row r="53" customFormat="false" ht="15" hidden="false" customHeight="true" outlineLevel="0" collapsed="false">
      <c r="B53" s="20" t="s">
        <v>69</v>
      </c>
    </row>
    <row r="54" customFormat="false" ht="15" hidden="false" customHeight="true" outlineLevel="0" collapsed="false">
      <c r="B54" s="20" t="s">
        <v>70</v>
      </c>
    </row>
    <row r="55" customFormat="false" ht="15" hidden="false" customHeight="true" outlineLevel="0" collapsed="false">
      <c r="B55" s="20" t="s">
        <v>71</v>
      </c>
    </row>
    <row r="56" customFormat="false" ht="15" hidden="false" customHeight="true" outlineLevel="0" collapsed="false">
      <c r="B56" s="20" t="s">
        <v>72</v>
      </c>
    </row>
    <row r="57" customFormat="false" ht="15" hidden="false" customHeight="true" outlineLevel="0" collapsed="false">
      <c r="B57" s="20" t="s">
        <v>73</v>
      </c>
    </row>
    <row r="58" customFormat="false" ht="15" hidden="false" customHeight="true" outlineLevel="0" collapsed="false">
      <c r="B58" s="20" t="s">
        <v>74</v>
      </c>
    </row>
  </sheetData>
  <mergeCells count="1">
    <mergeCell ref="B35:E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2026-06-17T12:23:21Z</dcterms:created>
  <dc:creator>openpyxl</dc:creator>
  <dc:description/>
  <dc:language>en-US</dc:language>
  <cp:lastModifiedBy/>
  <dcterms:modified xsi:type="dcterms:W3CDTF">2026-06-17T22:21:58Z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